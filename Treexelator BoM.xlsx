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77dac08e149951cc/Belgeler/Masaüstü/Hippos/"/>
    </mc:Choice>
  </mc:AlternateContent>
  <xr:revisionPtr revIDLastSave="330" documentId="11_F25DC773A252ABDACC104854F1186E825BDE58EE" xr6:coauthVersionLast="47" xr6:coauthVersionMax="47" xr10:uidLastSave="{57DD5913-DF29-41FB-838B-F82D161D045C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  <c r="F11" i="1"/>
  <c r="G5" i="1"/>
  <c r="G4" i="1"/>
  <c r="G3" i="1"/>
  <c r="G2" i="1"/>
</calcChain>
</file>

<file path=xl/sharedStrings.xml><?xml version="1.0" encoding="utf-8"?>
<sst xmlns="http://schemas.openxmlformats.org/spreadsheetml/2006/main" count="85" uniqueCount="64">
  <si>
    <t>Product Model</t>
  </si>
  <si>
    <t>Manufacturer</t>
  </si>
  <si>
    <t>Price each</t>
  </si>
  <si>
    <t>Piece</t>
  </si>
  <si>
    <t>Datasheet/Specifications</t>
  </si>
  <si>
    <t>Description</t>
  </si>
  <si>
    <t>Product Link</t>
  </si>
  <si>
    <t>GL 100</t>
  </si>
  <si>
    <t>CubeMars</t>
  </si>
  <si>
    <t>GL 80</t>
  </si>
  <si>
    <t>ODrive Pro</t>
  </si>
  <si>
    <t xml:space="preserve">ODrive </t>
  </si>
  <si>
    <t>https://docs.odriverobotics.com/v/latest/guides/getting-started.html</t>
  </si>
  <si>
    <t>https://www.cubemars.com/product/gl100-kv10-gimbal-motor.html</t>
  </si>
  <si>
    <t>https://www.cubemars.com/product/gl80-kv30-gimbal-motor.html</t>
  </si>
  <si>
    <t>https://www.cubemars.com/product/gl60-kv25-gimbal-motor.html</t>
  </si>
  <si>
    <t>GL 60</t>
  </si>
  <si>
    <t xml:space="preserve">Outrunner FOC BLDC Motor, 3nM Continuous, </t>
  </si>
  <si>
    <t xml:space="preserve">Outrunner FOC BLDC Motor, 1nM Continuous, </t>
  </si>
  <si>
    <t xml:space="preserve">Outrunner FOC BLDC Motor, 0.6nM Continuous, </t>
  </si>
  <si>
    <t>Multipurpose ESC with Vector control and integrated high bit decoder</t>
  </si>
  <si>
    <t xml:space="preserve">https://eu.odriverobotics.com/shop/odrive-pro  </t>
  </si>
  <si>
    <t>https://www.digikey.co.uk/en/products/detail/adafruit-industries-llc/1195/5353635?_gl=1*17547nr*_up*MQ..*_gs*NA..&amp;gclid=Cj0KCQjw35bIBhDqARIsAGjd-cb4wDj67KgshPd8U8WqXyom1d_QIdsFfsT2mLz6VfNrmRmbZz5XULkaAgr0EALw_wcB&amp;gclsrc=aw.ds&amp;gbraid=0AAAAADrbLliajRulg83CzspJX4kIiRFq7</t>
  </si>
  <si>
    <t>http://mm.digikey.com/Volume0/opasdata/d220001/medias/docus/1105/1195_Web.pdf</t>
  </si>
  <si>
    <t xml:space="preserve">Adafruit </t>
  </si>
  <si>
    <t>12 wire, 2amp/wire, 28awg slip ring</t>
  </si>
  <si>
    <t>Slipring 1195</t>
  </si>
  <si>
    <t>https://store.dsti.com/products/electrical-slip-rings/esm-series/esm312-15-circuit-slip-ring?_gl=1%2A1lcy8bv%2A_gcl_aw%2AR0NMLjE3NjIwMjQwMjkuQ2owS0NRanczNWJJQmhEcUFSSXNBR2pkLWNaUXVya0JuYXMyTkJCY09MbFlDY2U2Qk96cE1kTUwyU0NhQ3VfajBZN0lXXzdYUlMyanZXWWFBcW1YRUFMd193Y0I.%2A_gcl_au%2AOTcxODc3Njc2LjE3NjIwMjM4NzA.%2A_up%2AMQ..%2A_gs%2AMQ..%2A_ga%2AMzAwNTM3MTQ2LjE3NjIwMjM4NjY.%2A_ga_9YHQ6H93SJ%2AczE3NjIwMjM4NzYkbzEkZzEkdDE3NjIwMjM5NTQkajU1JGwwJGgw&amp;gbraid=0AAAAAD_uDD5apuEZ0Lca8EJGIolet1bsd&amp;gclid=Cj0KCQjw35bIBhDqARIsAGjd-cZQurkBnas2NBBcOLlYCce6BOzpMdML2SCaCu_j0Y7IW_7XRS2jvWYaAqmXEALw_wcB</t>
  </si>
  <si>
    <t>https://www.dsti.com/pdfs/catalogs/DSTI-ESM-Series-Catalog.pdf?_gl=1*1txqrbf*_up*MQ..*_gs*MQ..&amp;gclid=Cj0KCQjw35bIBhDqARIsAGjd-cZQurkBnas2NBBcOLlYCce6BOzpMdML2SCaCu_j0Y7IW_7XRS2jvWYaAqmXEALw_wcB&amp;gbraid=0AAAAAD_uDD5apuEZ0Lca8EJGIolet1bsd</t>
  </si>
  <si>
    <t>Exemple</t>
  </si>
  <si>
    <t>DSTI</t>
  </si>
  <si>
    <t>ESM312</t>
  </si>
  <si>
    <t>Ultra-high quality gold slip ring</t>
  </si>
  <si>
    <t>Senring</t>
  </si>
  <si>
    <t>Example</t>
  </si>
  <si>
    <t>https://www.aliexpress.com/item/1005003469962786.html?spm=a2g0o.productlist.main.8.54236347WeK6dE&amp;algo_pvid=3c0bd778-f965-4c1e-a457-4bef2f68a8c7&amp;algo_exp_id=3c0bd778-f965-4c1e-a457-4bef2f68a8c7-7&amp;pdp_ext_f=%7B%22order%22%3A%22169%22%2C%22eval%22%3A%221%22%2C%22fromPage%22%3A%22search%22%7D&amp;pdp_npi=6%40dis%21GBP%214.60%214.60%21%21%215.88%215.88%21%402103864c17620249170195795e371b%2112000025996292934%21sea%21UK%210%21ABX%211%210%21n_tag%3A-29910%3Bd%3Af01bdaac%3Bm03_new_user%3A-29895&amp;curPageLogUid=5AccFkFHb1O8&amp;utparam-url=scene%3Asearch%7Cquery_from%3A%7Cx_object_id%3A1005003469962786%7C_p_origin_prod%3A#nav-specification</t>
  </si>
  <si>
    <t>https://www.senring.com/pdf/Senring-6-allseries-SlipRing-Catalog.pdf</t>
  </si>
  <si>
    <t>high current, low dynamic resistance, 12 wire, 10A/wire, slipring</t>
  </si>
  <si>
    <t>3+1extra</t>
  </si>
  <si>
    <t>https://www.digikey.co.uk/en/products/detail/stmicroelectronics/NUCLEO-H723ZG/13171214?gad_source=1&amp;gad_campaignid=20265362335&amp;gbraid=0AAAAADrbLlgfQLb3QIZTmxX0YtuM7qDt7&amp;gclid=Cj0KCQjw35bIBhDqARIsAGjd-cbKv-wPJDxe9Qw4-gC5m5719deJl2gPWSlKei4jxD-g72eYJMFRfboaArANEALw_wcB&amp;gclsrc=aw.ds</t>
  </si>
  <si>
    <t>https://www.st.com/resource/en/data_brief/nucleo-l496zg.pdf</t>
  </si>
  <si>
    <t>NUCLEO-H723ZG</t>
  </si>
  <si>
    <t>STM</t>
  </si>
  <si>
    <t>Powerful STM32H7 family microcontroller</t>
  </si>
  <si>
    <t>TOTAL</t>
  </si>
  <si>
    <t>exe cost</t>
  </si>
  <si>
    <t>Tax + Shipping</t>
  </si>
  <si>
    <t>x</t>
  </si>
  <si>
    <t>Device Name</t>
  </si>
  <si>
    <t>CubeMars GL100 KV10</t>
  </si>
  <si>
    <t>CubeMars GL60 KV25</t>
  </si>
  <si>
    <t>CubeMarsGL80 KV30</t>
  </si>
  <si>
    <t>ODrive Pro VESC</t>
  </si>
  <si>
    <t xml:space="preserve"> Slip Ring</t>
  </si>
  <si>
    <t>STM32H7 Development Board</t>
  </si>
  <si>
    <t>https://www.rls.si/eng/aksim-2-off-axis-rotary-absolute-encoder</t>
  </si>
  <si>
    <t>https://www.rls.si/eng/fileuploader/download/download/?d=1&amp;id=267&amp;title=Data+sheet%3A+AksIM-2%E2%84%A2+off-axis+rotary+absolute+magnetic+encoder+%28MBD01%29</t>
  </si>
  <si>
    <t xml:space="preserve">non-contact 20bit high performance off-axis absolute rotary encoder </t>
  </si>
  <si>
    <t>RLS</t>
  </si>
  <si>
    <t>Aksim 2</t>
  </si>
  <si>
    <t>Absolute Magnetic Encoder</t>
  </si>
  <si>
    <t>Senring 10A</t>
  </si>
  <si>
    <t>Senring 2A</t>
  </si>
  <si>
    <t>NET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</si>
</sst>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€-2]\ * #,##0.00_-;\-[$€-2]\ * #,##0.00_-;_-[$€-2]\ * &quot;-&quot;??_-;_-@_-"/>
    <numFmt numFmtId="165" formatCode="_-[$$-409]* #,##0.00_ ;_-[$$-409]* \-#,##0.00\ ;_-[$$-409]* &quot;-&quot;??_ ;_-@_ "/>
    <numFmt numFmtId="166" formatCode="_-[$£-809]* #,##0.00_-;\-[$£-809]* #,##0.00_-;_-[$£-809]* &quot;-&quot;??_-;_-@_-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6">
    <xf numFmtId="0" fontId="0" fillId="0" borderId="0" xfId="0"/>
    <xf numFmtId="0" fontId="0" fillId="3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0" fontId="1" fillId="3" borderId="2" xfId="1" applyFill="1" applyBorder="1" applyAlignment="1">
      <alignment horizontal="center"/>
    </xf>
    <xf numFmtId="0" fontId="1" fillId="3" borderId="3" xfId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65" fontId="0" fillId="0" borderId="2" xfId="0" applyNumberFormat="1" applyBorder="1" applyAlignment="1">
      <alignment horizontal="center"/>
    </xf>
    <xf numFmtId="0" fontId="1" fillId="0" borderId="2" xfId="1" applyBorder="1" applyAlignment="1">
      <alignment horizontal="center"/>
    </xf>
    <xf numFmtId="0" fontId="1" fillId="0" borderId="3" xfId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0" borderId="3" xfId="0" applyBorder="1" applyAlignment="1">
      <alignment horizontal="center"/>
    </xf>
    <xf numFmtId="166" fontId="0" fillId="3" borderId="2" xfId="0" applyNumberForma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3" borderId="5" xfId="1" applyFill="1" applyBorder="1" applyAlignment="1">
      <alignment horizontal="center"/>
    </xf>
    <xf numFmtId="0" fontId="1" fillId="3" borderId="0" xfId="1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1" applyFill="1" applyBorder="1" applyAlignment="1">
      <alignment horizontal="center"/>
    </xf>
    <xf numFmtId="0" fontId="1" fillId="4" borderId="5" xfId="1" applyFill="1" applyBorder="1" applyAlignment="1">
      <alignment horizontal="center"/>
    </xf>
    <xf numFmtId="0" fontId="0" fillId="4" borderId="0" xfId="0" applyFill="1"/>
    <xf numFmtId="0" fontId="0" fillId="2" borderId="0" xfId="0" applyFill="1"/>
    <xf numFmtId="165" fontId="0" fillId="4" borderId="0" xfId="0" applyNumberFormat="1" applyFill="1" applyAlignment="1">
      <alignment horizontal="center"/>
    </xf>
    <xf numFmtId="166" fontId="0" fillId="0" borderId="2" xfId="0" applyNumberFormat="1" applyBorder="1" applyAlignment="1">
      <alignment horizontal="center"/>
    </xf>
    <xf numFmtId="166" fontId="0" fillId="0" borderId="0" xfId="0" applyNumberFormat="1"/>
    <xf numFmtId="166" fontId="0" fillId="2" borderId="0" xfId="0" applyNumberFormat="1" applyFill="1"/>
    <xf numFmtId="0" fontId="2" fillId="5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u.odriverobotics.com/shop/odrive-pro" TargetMode="External"/><Relationship Id="rId13" Type="http://schemas.openxmlformats.org/officeDocument/2006/relationships/hyperlink" Target="https://www.digikey.co.uk/en/products/detail/adafruit-industries-llc/1195/5353635?_gl=1*17547nr*_up*MQ..*_gs*NA..&amp;gclid=Cj0KCQjw35bIBhDqARIsAGjd-cb4wDj67KgshPd8U8WqXyom1d_QIdsFfsT2mLz6VfNrmRmbZz5XULkaAgr0EALw_wcB&amp;gclsrc=aw.ds&amp;gbraid=0AAAAADrbLliajRulg83CzspJX4kIiRFq7" TargetMode="External"/><Relationship Id="rId3" Type="http://schemas.openxmlformats.org/officeDocument/2006/relationships/hyperlink" Target="https://www.cubemars.com/product/gl80-kv30-gimbal-motor.html" TargetMode="External"/><Relationship Id="rId7" Type="http://schemas.openxmlformats.org/officeDocument/2006/relationships/hyperlink" Target="https://www.cubemars.com/product/gl60-kv25-gimbal-motor.html" TargetMode="External"/><Relationship Id="rId12" Type="http://schemas.openxmlformats.org/officeDocument/2006/relationships/hyperlink" Target="https://www.st.com/resource/en/data_brief/nucleo-l496zg.pdf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cubemars.com/product/gl100-kv10-gimbal-motor.html" TargetMode="External"/><Relationship Id="rId16" Type="http://schemas.openxmlformats.org/officeDocument/2006/relationships/hyperlink" Target="https://www.senring.com/pdf/Senring-6-allseries-SlipRing-Catalog.pdf" TargetMode="External"/><Relationship Id="rId1" Type="http://schemas.openxmlformats.org/officeDocument/2006/relationships/hyperlink" Target="https://docs.odriverobotics.com/v/latest/guides/getting-started.html" TargetMode="External"/><Relationship Id="rId6" Type="http://schemas.openxmlformats.org/officeDocument/2006/relationships/hyperlink" Target="https://www.cubemars.com/product/gl80-kv30-gimbal-motor.html" TargetMode="External"/><Relationship Id="rId11" Type="http://schemas.openxmlformats.org/officeDocument/2006/relationships/hyperlink" Target="https://www.digikey.co.uk/en/products/detail/stmicroelectronics/NUCLEO-H723ZG/13171214?gad_source=1&amp;gad_campaignid=20265362335&amp;gbraid=0AAAAADrbLlgfQLb3QIZTmxX0YtuM7qDt7&amp;gclid=Cj0KCQjw35bIBhDqARIsAGjd-cbKv-wPJDxe9Qw4-gC5m5719deJl2gPWSlKei4jxD-g72eYJMFRfboaArANEALw_wcB&amp;gclsrc=aw.ds" TargetMode="External"/><Relationship Id="rId5" Type="http://schemas.openxmlformats.org/officeDocument/2006/relationships/hyperlink" Target="https://www.cubemars.com/product/gl100-kv10-gimbal-motor.html" TargetMode="External"/><Relationship Id="rId15" Type="http://schemas.openxmlformats.org/officeDocument/2006/relationships/hyperlink" Target="https://www.rls.si/eng/fileuploader/download/download/?d=1&amp;id=267&amp;title=Data+sheet%3A+AksIM-2%E2%84%A2+off-axis+rotary+absolute+magnetic+encoder+%28MBD01%29" TargetMode="External"/><Relationship Id="rId10" Type="http://schemas.openxmlformats.org/officeDocument/2006/relationships/hyperlink" Target="https://www.senring.com/pdf/Senring-6-allseries-SlipRing-Catalog.pdf" TargetMode="External"/><Relationship Id="rId4" Type="http://schemas.openxmlformats.org/officeDocument/2006/relationships/hyperlink" Target="https://www.cubemars.com/product/gl60-kv25-gimbal-motor.html" TargetMode="External"/><Relationship Id="rId9" Type="http://schemas.openxmlformats.org/officeDocument/2006/relationships/hyperlink" Target="https://www.dsti.com/pdfs/catalogs/DSTI-ESM-Series-Catalog.pdf?_gl=1*1txqrbf*_up*MQ..*_gs*MQ..&amp;gclid=Cj0KCQjw35bIBhDqARIsAGjd-cZQurkBnas2NBBcOLlYCce6BOzpMdML2SCaCu_j0Y7IW_7XRS2jvWYaAqmXEALw_wcB&amp;gbraid=0AAAAAD_uDD5apuEZ0Lca8EJGIolet1bsd" TargetMode="External"/><Relationship Id="rId14" Type="http://schemas.openxmlformats.org/officeDocument/2006/relationships/hyperlink" Target="https://www.rls.si/eng/aksim-2-off-axis-rotary-absolute-enco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tabSelected="1" topLeftCell="B1" workbookViewId="0">
      <selection activeCell="G16" sqref="G16"/>
    </sheetView>
  </sheetViews>
  <sheetFormatPr defaultRowHeight="14.4" x14ac:dyDescent="0.3"/>
  <cols>
    <col min="1" max="1" width="15.109375" bestFit="1" customWidth="1"/>
    <col min="2" max="2" width="29.77734375" customWidth="1"/>
    <col min="3" max="3" width="13.109375" customWidth="1"/>
    <col min="4" max="4" width="9.44140625" customWidth="1"/>
    <col min="5" max="5" width="8.44140625" customWidth="1"/>
    <col min="6" max="6" width="10.21875" customWidth="1"/>
    <col min="7" max="7" width="24.44140625" customWidth="1"/>
    <col min="8" max="8" width="35.77734375" customWidth="1"/>
    <col min="9" max="9" width="58.77734375" customWidth="1"/>
    <col min="10" max="10" width="42.5546875" customWidth="1"/>
  </cols>
  <sheetData>
    <row r="1" spans="1:11" s="30" customFormat="1" x14ac:dyDescent="0.3">
      <c r="A1" s="2" t="s">
        <v>0</v>
      </c>
      <c r="B1" s="3" t="s">
        <v>48</v>
      </c>
      <c r="C1" s="3" t="s">
        <v>1</v>
      </c>
      <c r="D1" s="3" t="s">
        <v>2</v>
      </c>
      <c r="E1" s="3" t="s">
        <v>3</v>
      </c>
      <c r="F1" s="3" t="s">
        <v>45</v>
      </c>
      <c r="G1" s="3" t="s">
        <v>46</v>
      </c>
      <c r="H1" s="3" t="s">
        <v>4</v>
      </c>
      <c r="I1" s="3" t="s">
        <v>5</v>
      </c>
      <c r="J1" s="4" t="s">
        <v>6</v>
      </c>
    </row>
    <row r="2" spans="1:11" s="1" customFormat="1" x14ac:dyDescent="0.3">
      <c r="A2" s="5" t="s">
        <v>7</v>
      </c>
      <c r="B2" s="6" t="s">
        <v>49</v>
      </c>
      <c r="C2" s="6" t="s">
        <v>8</v>
      </c>
      <c r="D2" s="20">
        <v>227.49</v>
      </c>
      <c r="E2" s="6">
        <v>1</v>
      </c>
      <c r="F2" s="20">
        <v>273</v>
      </c>
      <c r="G2" s="20">
        <f>D2*0.2</f>
        <v>45.498000000000005</v>
      </c>
      <c r="H2" s="8" t="s">
        <v>13</v>
      </c>
      <c r="I2" s="6" t="s">
        <v>17</v>
      </c>
      <c r="J2" s="9" t="s">
        <v>13</v>
      </c>
      <c r="K2" s="17" t="s">
        <v>47</v>
      </c>
    </row>
    <row r="3" spans="1:11" x14ac:dyDescent="0.3">
      <c r="A3" s="10" t="s">
        <v>9</v>
      </c>
      <c r="B3" s="11" t="s">
        <v>51</v>
      </c>
      <c r="C3" s="11" t="s">
        <v>8</v>
      </c>
      <c r="D3" s="32">
        <v>151.66</v>
      </c>
      <c r="E3" s="11">
        <v>1</v>
      </c>
      <c r="F3" s="32">
        <v>182</v>
      </c>
      <c r="G3" s="32">
        <f>D3*0.2</f>
        <v>30.332000000000001</v>
      </c>
      <c r="H3" s="13" t="s">
        <v>14</v>
      </c>
      <c r="I3" s="11" t="s">
        <v>18</v>
      </c>
      <c r="J3" s="14" t="s">
        <v>14</v>
      </c>
      <c r="K3" s="22" t="s">
        <v>47</v>
      </c>
    </row>
    <row r="4" spans="1:11" s="1" customFormat="1" x14ac:dyDescent="0.3">
      <c r="A4" s="5" t="s">
        <v>16</v>
      </c>
      <c r="B4" s="6" t="s">
        <v>50</v>
      </c>
      <c r="C4" s="6" t="s">
        <v>8</v>
      </c>
      <c r="D4" s="20">
        <v>90.83</v>
      </c>
      <c r="E4" s="6">
        <v>1</v>
      </c>
      <c r="F4" s="20">
        <v>109</v>
      </c>
      <c r="G4" s="20">
        <f>D4*0.2</f>
        <v>18.166</v>
      </c>
      <c r="H4" s="8" t="s">
        <v>15</v>
      </c>
      <c r="I4" s="6" t="s">
        <v>19</v>
      </c>
      <c r="J4" s="9" t="s">
        <v>15</v>
      </c>
      <c r="K4" s="17" t="s">
        <v>47</v>
      </c>
    </row>
    <row r="5" spans="1:11" x14ac:dyDescent="0.3">
      <c r="A5" s="10" t="s">
        <v>10</v>
      </c>
      <c r="B5" s="11" t="s">
        <v>52</v>
      </c>
      <c r="C5" s="11" t="s">
        <v>11</v>
      </c>
      <c r="D5" s="15">
        <v>230</v>
      </c>
      <c r="E5" s="11" t="s">
        <v>38</v>
      </c>
      <c r="F5" s="12">
        <v>229</v>
      </c>
      <c r="G5" s="32">
        <f>153.39+49.21</f>
        <v>202.6</v>
      </c>
      <c r="H5" s="13" t="s">
        <v>12</v>
      </c>
      <c r="I5" s="11" t="s">
        <v>20</v>
      </c>
      <c r="J5" s="14" t="s">
        <v>21</v>
      </c>
      <c r="K5" s="22" t="s">
        <v>47</v>
      </c>
    </row>
    <row r="6" spans="1:11" s="1" customFormat="1" x14ac:dyDescent="0.3">
      <c r="A6" s="16" t="s">
        <v>26</v>
      </c>
      <c r="B6" s="17" t="s">
        <v>53</v>
      </c>
      <c r="C6" s="17" t="s">
        <v>24</v>
      </c>
      <c r="D6" s="18">
        <v>18.8</v>
      </c>
      <c r="E6" s="17" t="s">
        <v>34</v>
      </c>
      <c r="F6" s="17">
        <v>0</v>
      </c>
      <c r="G6" s="17">
        <v>0</v>
      </c>
      <c r="H6" s="17" t="s">
        <v>23</v>
      </c>
      <c r="I6" s="17" t="s">
        <v>25</v>
      </c>
      <c r="J6" s="23" t="s">
        <v>22</v>
      </c>
      <c r="K6" s="17" t="s">
        <v>47</v>
      </c>
    </row>
    <row r="7" spans="1:11" x14ac:dyDescent="0.3">
      <c r="A7" s="10" t="s">
        <v>31</v>
      </c>
      <c r="B7" s="11" t="s">
        <v>53</v>
      </c>
      <c r="C7" s="11" t="s">
        <v>30</v>
      </c>
      <c r="D7" s="12">
        <v>816</v>
      </c>
      <c r="E7" s="11" t="s">
        <v>29</v>
      </c>
      <c r="F7" s="11">
        <v>0</v>
      </c>
      <c r="G7" s="11">
        <v>0</v>
      </c>
      <c r="H7" s="13" t="s">
        <v>28</v>
      </c>
      <c r="I7" s="11" t="s">
        <v>32</v>
      </c>
      <c r="J7" s="19" t="s">
        <v>27</v>
      </c>
      <c r="K7" s="22" t="s">
        <v>47</v>
      </c>
    </row>
    <row r="8" spans="1:11" s="1" customFormat="1" x14ac:dyDescent="0.3">
      <c r="A8" s="5" t="s">
        <v>61</v>
      </c>
      <c r="B8" s="6" t="s">
        <v>53</v>
      </c>
      <c r="C8" s="6" t="s">
        <v>33</v>
      </c>
      <c r="D8" s="7">
        <v>35</v>
      </c>
      <c r="E8" s="6">
        <v>2</v>
      </c>
      <c r="F8" s="7">
        <v>70</v>
      </c>
      <c r="G8" s="7">
        <v>4</v>
      </c>
      <c r="H8" s="8" t="s">
        <v>36</v>
      </c>
      <c r="I8" s="6" t="s">
        <v>37</v>
      </c>
      <c r="J8" s="21" t="s">
        <v>35</v>
      </c>
      <c r="K8" s="17" t="s">
        <v>47</v>
      </c>
    </row>
    <row r="9" spans="1:11" s="1" customFormat="1" x14ac:dyDescent="0.3">
      <c r="A9" s="5" t="s">
        <v>62</v>
      </c>
      <c r="B9" s="6" t="s">
        <v>53</v>
      </c>
      <c r="C9" s="6" t="s">
        <v>33</v>
      </c>
      <c r="D9" s="7">
        <v>18</v>
      </c>
      <c r="E9" s="6">
        <v>1</v>
      </c>
      <c r="F9" s="7">
        <v>18</v>
      </c>
      <c r="G9" s="7">
        <v>4</v>
      </c>
      <c r="H9" s="8" t="s">
        <v>36</v>
      </c>
      <c r="I9" s="6" t="s">
        <v>37</v>
      </c>
      <c r="J9" s="21" t="s">
        <v>35</v>
      </c>
      <c r="K9" s="17" t="s">
        <v>47</v>
      </c>
    </row>
    <row r="10" spans="1:11" s="29" customFormat="1" x14ac:dyDescent="0.3">
      <c r="A10" s="25" t="s">
        <v>59</v>
      </c>
      <c r="B10" s="26" t="s">
        <v>60</v>
      </c>
      <c r="C10" s="26" t="s">
        <v>58</v>
      </c>
      <c r="D10" s="31">
        <v>382</v>
      </c>
      <c r="E10" s="26">
        <v>3</v>
      </c>
      <c r="F10" s="31">
        <v>1148</v>
      </c>
      <c r="G10" s="31">
        <v>30</v>
      </c>
      <c r="H10" s="27" t="s">
        <v>56</v>
      </c>
      <c r="I10" s="26" t="s">
        <v>57</v>
      </c>
      <c r="J10" s="28" t="s">
        <v>55</v>
      </c>
      <c r="K10" s="26" t="s">
        <v>47</v>
      </c>
    </row>
    <row r="11" spans="1:11" s="1" customFormat="1" x14ac:dyDescent="0.3">
      <c r="A11" s="16" t="s">
        <v>41</v>
      </c>
      <c r="B11" s="17" t="s">
        <v>54</v>
      </c>
      <c r="C11" s="17" t="s">
        <v>42</v>
      </c>
      <c r="D11" s="18">
        <v>22.6</v>
      </c>
      <c r="E11" s="17">
        <v>2</v>
      </c>
      <c r="F11" s="18">
        <f>D11*2</f>
        <v>45.2</v>
      </c>
      <c r="G11" s="17">
        <v>0</v>
      </c>
      <c r="H11" s="24" t="s">
        <v>40</v>
      </c>
      <c r="I11" s="17" t="s">
        <v>43</v>
      </c>
      <c r="J11" s="23" t="s">
        <v>39</v>
      </c>
      <c r="K11" s="17" t="s">
        <v>47</v>
      </c>
    </row>
    <row r="12" spans="1:11" x14ac:dyDescent="0.3">
      <c r="E12" s="30" t="s">
        <v>44</v>
      </c>
      <c r="F12" s="33">
        <v>1710.2</v>
      </c>
      <c r="G12" s="34">
        <v>325.18</v>
      </c>
    </row>
    <row r="14" spans="1:11" x14ac:dyDescent="0.3">
      <c r="D14" s="35" t="s">
        <v>63</v>
      </c>
      <c r="E14" s="35"/>
      <c r="F14" s="33">
        <f>SUM(F12:G12)</f>
        <v>2035.38</v>
      </c>
    </row>
  </sheetData>
  <mergeCells count="1">
    <mergeCell ref="D14:E14"/>
  </mergeCells>
  <hyperlinks>
    <hyperlink ref="H5" r:id="rId1" xr:uid="{194D76C6-5096-44F3-9E88-107E51C4751C}"/>
    <hyperlink ref="H2" r:id="rId2" xr:uid="{E5931B64-ECD1-4486-BE3D-7438E740376E}"/>
    <hyperlink ref="H3" r:id="rId3" xr:uid="{C630779E-B070-4FC6-BF3C-285C9E8FA932}"/>
    <hyperlink ref="H4" r:id="rId4" xr:uid="{8DBB00D7-CD2C-42B0-9F7D-5941C7341826}"/>
    <hyperlink ref="J2" r:id="rId5" xr:uid="{D0CA2FA2-7FB6-43CF-B8DC-EE5F68A05E30}"/>
    <hyperlink ref="J3" r:id="rId6" xr:uid="{D0F2EF9A-6A7F-48CE-B62F-36CE9FAEC415}"/>
    <hyperlink ref="J4" r:id="rId7" xr:uid="{6AEEAB53-72AA-40BB-BB2F-89143E16370E}"/>
    <hyperlink ref="J5" r:id="rId8" xr:uid="{775B4B0E-4F53-436D-806F-50630F19F6C9}"/>
    <hyperlink ref="H7" r:id="rId9" xr:uid="{17D353B5-1E76-4105-99D8-36E5B71136DA}"/>
    <hyperlink ref="H9" r:id="rId10" xr:uid="{B29F4E00-F9CB-404A-B2BB-B9F0C8F27C2E}"/>
    <hyperlink ref="J11" r:id="rId11" display="https://www.digikey.co.uk/en/products/detail/stmicroelectronics/NUCLEO-H723ZG/13171214?gad_source=1&amp;gad_campaignid=20265362335&amp;gbraid=0AAAAADrbLlgfQLb3QIZTmxX0YtuM7qDt7&amp;gclid=Cj0KCQjw35bIBhDqARIsAGjd-cbKv-wPJDxe9Qw4-gC5m5719deJl2gPWSlKei4jxD-g72eYJMFRfboaArANEALw_wcB&amp;gclsrc=aw.ds" xr:uid="{6B0E165F-CFD1-45DF-A4C9-F3397B4F181D}"/>
    <hyperlink ref="H11" r:id="rId12" xr:uid="{107642C9-4C70-4166-AEB4-116051E1DEFD}"/>
    <hyperlink ref="J6" r:id="rId13" display="https://www.digikey.co.uk/en/products/detail/adafruit-industries-llc/1195/5353635?_gl=1*17547nr*_up*MQ..*_gs*NA..&amp;gclid=Cj0KCQjw35bIBhDqARIsAGjd-cb4wDj67KgshPd8U8WqXyom1d_QIdsFfsT2mLz6VfNrmRmbZz5XULkaAgr0EALw_wcB&amp;gclsrc=aw.ds&amp;gbraid=0AAAAADrbLliajRulg83CzspJX4kIiRFq7" xr:uid="{873EDBCF-7278-47A6-AF80-3D581F85280D}"/>
    <hyperlink ref="J10" r:id="rId14" xr:uid="{7C51F1DA-2A6C-4A1D-9096-175A916F04B9}"/>
    <hyperlink ref="H10" r:id="rId15" xr:uid="{2DFCC130-31CE-4300-BC4A-CBE6302D2EFA}"/>
    <hyperlink ref="H8" r:id="rId16" xr:uid="{A41F4814-8D6D-41F5-ADD4-34F17A5D3EE2}"/>
  </hyperlinks>
  <pageMargins left="0.7" right="0.7" top="0.75" bottom="0.75" header="0.3" footer="0.3"/>
  <pageSetup paperSize="9" orientation="portrait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Taylan ARSLAN</dc:creator>
  <cp:lastModifiedBy>Taylan ARSLAN</cp:lastModifiedBy>
  <dcterms:created xsi:type="dcterms:W3CDTF">2015-06-05T18:17:20Z</dcterms:created>
  <dcterms:modified xsi:type="dcterms:W3CDTF">2025-12-03T13:00:26Z</dcterms:modified>
</cp:coreProperties>
</file>